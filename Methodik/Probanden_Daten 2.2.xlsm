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ohan\OneDrive\Desktop\SpoWi\WS 22,23\Masterarbeit - Wirkungsgrad\Wirkungsgrad-Rad.github.io\Methodik\"/>
    </mc:Choice>
  </mc:AlternateContent>
  <xr:revisionPtr revIDLastSave="0" documentId="13_ncr:1_{2B6C9384-5ABA-40C3-8394-8A1316C4A63E}" xr6:coauthVersionLast="47" xr6:coauthVersionMax="47" xr10:uidLastSave="{00000000-0000-0000-0000-000000000000}"/>
  <bookViews>
    <workbookView xWindow="-118" yWindow="-118" windowWidth="25370" windowHeight="13667" tabRatio="614" xr2:uid="{00000000-000D-0000-FFFF-FFFF00000000}"/>
  </bookViews>
  <sheets>
    <sheet name="Stichprobe_final" sheetId="10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0" l="1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C13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</calcChain>
</file>

<file path=xl/sharedStrings.xml><?xml version="1.0" encoding="utf-8"?>
<sst xmlns="http://schemas.openxmlformats.org/spreadsheetml/2006/main" count="44" uniqueCount="35">
  <si>
    <t>Geschlecht</t>
  </si>
  <si>
    <t>männlich</t>
  </si>
  <si>
    <t>weiblich</t>
  </si>
  <si>
    <t>4,946</t>
  </si>
  <si>
    <t>6,181</t>
  </si>
  <si>
    <t>5,184</t>
  </si>
  <si>
    <t>5,326</t>
  </si>
  <si>
    <t>4,693</t>
  </si>
  <si>
    <t>5,555</t>
  </si>
  <si>
    <t>Rampe [Watt]</t>
  </si>
  <si>
    <t>Proband</t>
  </si>
  <si>
    <t>Mittelwert:</t>
  </si>
  <si>
    <t>SD</t>
  </si>
  <si>
    <t>Alter [Jahre]</t>
  </si>
  <si>
    <t>Kurbellänge [mm]</t>
  </si>
  <si>
    <t>Moderat_VT1 [Watt]</t>
  </si>
  <si>
    <t>Schwer_VT1/VT2 [Watt]</t>
  </si>
  <si>
    <t>Sehr schwer_VT2 [Watt]</t>
  </si>
  <si>
    <t>VT2 [%]</t>
  </si>
  <si>
    <t>VT1/VT2 [%]</t>
  </si>
  <si>
    <t>VT1 [%]</t>
  </si>
  <si>
    <t>Gewicht [kg]</t>
  </si>
  <si>
    <t>Größe [cm]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</si>
  <si>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max,sitzen</t>
    </r>
    <r>
      <rPr>
        <b/>
        <sz val="11"/>
        <color theme="1"/>
        <rFont val="Calibri"/>
        <family val="2"/>
        <scheme val="minor"/>
      </rPr>
      <t xml:space="preserve"> [Watt]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</si>
  <si>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max,sitzen</t>
    </r>
    <r>
      <rPr>
        <b/>
        <sz val="11"/>
        <color theme="1"/>
        <rFont val="Calibri"/>
        <family val="2"/>
        <scheme val="minor"/>
      </rPr>
      <t xml:space="preserve"> [W/kg]</t>
    </r>
  </si>
  <si>
    <r>
      <t>RPM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[Umdrehungen/min]</t>
    </r>
  </si>
  <si>
    <r>
      <t>RPM</t>
    </r>
    <r>
      <rPr>
        <b/>
        <vertAlign val="subscript"/>
        <sz val="11"/>
        <color theme="1"/>
        <rFont val="Calibri"/>
        <family val="2"/>
        <scheme val="minor"/>
      </rPr>
      <t>sitzen</t>
    </r>
    <r>
      <rPr>
        <b/>
        <sz val="11"/>
        <color theme="1"/>
        <rFont val="Calibri"/>
        <family val="2"/>
        <scheme val="minor"/>
      </rPr>
      <t xml:space="preserve"> [Umdrehungen/min]</t>
    </r>
  </si>
  <si>
    <r>
      <t>RPM</t>
    </r>
    <r>
      <rPr>
        <b/>
        <vertAlign val="subscript"/>
        <sz val="11"/>
        <color theme="1"/>
        <rFont val="Calibri"/>
        <family val="2"/>
        <scheme val="minor"/>
      </rPr>
      <t>stehen</t>
    </r>
    <r>
      <rPr>
        <b/>
        <sz val="11"/>
        <color theme="1"/>
        <rFont val="Calibri"/>
        <family val="2"/>
        <scheme val="minor"/>
      </rPr>
      <t xml:space="preserve"> [Umdrehungen/min]</t>
    </r>
  </si>
  <si>
    <t>Pmax,Rampe [W/kg]</t>
  </si>
  <si>
    <r>
      <t>Niedrig_VT1-7,5% P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[Watt]</t>
    </r>
  </si>
  <si>
    <r>
      <t>VT1-7,5% P</t>
    </r>
    <r>
      <rPr>
        <b/>
        <vertAlign val="subscript"/>
        <sz val="11"/>
        <color theme="1"/>
        <rFont val="Calibri"/>
        <family val="2"/>
        <scheme val="minor"/>
      </rPr>
      <t>max</t>
    </r>
    <r>
      <rPr>
        <b/>
        <sz val="11"/>
        <color theme="1"/>
        <rFont val="Calibri"/>
        <family val="2"/>
        <scheme val="minor"/>
      </rPr>
      <t xml:space="preserve"> [%]</t>
    </r>
  </si>
  <si>
    <r>
      <t>Training</t>
    </r>
    <r>
      <rPr>
        <b/>
        <vertAlign val="subscript"/>
        <sz val="11"/>
        <color theme="1"/>
        <rFont val="Calibri"/>
        <family val="2"/>
        <scheme val="minor"/>
      </rPr>
      <t>Gesamt</t>
    </r>
    <r>
      <rPr>
        <b/>
        <sz val="11"/>
        <color theme="1"/>
        <rFont val="Calibri"/>
        <family val="2"/>
        <scheme val="minor"/>
      </rPr>
      <t xml:space="preserve"> [h]</t>
    </r>
  </si>
  <si>
    <r>
      <t>Training</t>
    </r>
    <r>
      <rPr>
        <b/>
        <vertAlign val="subscript"/>
        <sz val="11"/>
        <color theme="1"/>
        <rFont val="Calibri"/>
        <family val="2"/>
        <scheme val="minor"/>
      </rPr>
      <t>Rad</t>
    </r>
    <r>
      <rPr>
        <b/>
        <sz val="11"/>
        <color theme="1"/>
        <rFont val="Calibri"/>
        <family val="2"/>
        <scheme val="minor"/>
      </rPr>
      <t xml:space="preserve"> [h]</t>
    </r>
  </si>
  <si>
    <r>
      <t>V̇O</t>
    </r>
    <r>
      <rPr>
        <b/>
        <vertAlign val="subscript"/>
        <sz val="11"/>
        <color theme="1"/>
        <rFont val="Calibri"/>
        <family val="2"/>
        <scheme val="minor"/>
      </rPr>
      <t>2max</t>
    </r>
    <r>
      <rPr>
        <b/>
        <sz val="11"/>
        <color theme="1"/>
        <rFont val="Calibri"/>
        <family val="2"/>
        <scheme val="minor"/>
      </rPr>
      <t xml:space="preserve"> [l/min]</t>
    </r>
  </si>
  <si>
    <r>
      <t>V̇O</t>
    </r>
    <r>
      <rPr>
        <b/>
        <vertAlign val="subscript"/>
        <sz val="11"/>
        <color theme="1"/>
        <rFont val="Calibri"/>
        <family val="2"/>
        <scheme val="minor"/>
      </rPr>
      <t>2max</t>
    </r>
    <r>
      <rPr>
        <b/>
        <sz val="11"/>
        <color theme="1"/>
        <rFont val="Calibri"/>
        <family val="2"/>
        <scheme val="minor"/>
      </rPr>
      <t xml:space="preserve"> [ml/min/kg]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</si>
</sst>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7" formatCode="00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FF8F8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5" fontId="0" fillId="0" borderId="0" xfId="0" applyNumberFormat="1"/>
    <xf numFmtId="0" fontId="1" fillId="3" borderId="0" xfId="0" applyFont="1" applyFill="1"/>
    <xf numFmtId="0" fontId="0" fillId="4" borderId="0" xfId="0" applyFill="1"/>
    <xf numFmtId="0" fontId="1" fillId="5" borderId="0" xfId="0" applyFont="1" applyFill="1"/>
    <xf numFmtId="0" fontId="0" fillId="6" borderId="0" xfId="0" applyFill="1"/>
    <xf numFmtId="0" fontId="1" fillId="7" borderId="0" xfId="0" applyFont="1" applyFill="1"/>
    <xf numFmtId="0" fontId="1" fillId="8" borderId="0" xfId="0" applyFont="1" applyFill="1"/>
    <xf numFmtId="0" fontId="0" fillId="9" borderId="0" xfId="0" applyFill="1"/>
    <xf numFmtId="164" fontId="0" fillId="0" borderId="0" xfId="0" applyNumberFormat="1"/>
    <xf numFmtId="0" fontId="0" fillId="0" borderId="0" xfId="0" applyAlignment="1">
      <alignment horizontal="right"/>
    </xf>
    <xf numFmtId="1" fontId="0" fillId="2" borderId="0" xfId="0" applyNumberFormat="1" applyFill="1"/>
    <xf numFmtId="1" fontId="0" fillId="0" borderId="0" xfId="0" applyNumberFormat="1"/>
    <xf numFmtId="164" fontId="0" fillId="0" borderId="0" xfId="0" applyNumberFormat="1" applyAlignment="1">
      <alignment horizontal="right"/>
    </xf>
    <xf numFmtId="164" fontId="2" fillId="0" borderId="0" xfId="0" applyNumberFormat="1" applyFont="1"/>
    <xf numFmtId="165" fontId="2" fillId="0" borderId="0" xfId="0" applyNumberFormat="1" applyFont="1"/>
    <xf numFmtId="167" fontId="0" fillId="0" borderId="0" xfId="0" applyNumberFormat="1"/>
    <xf numFmtId="168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8F8F"/>
      <color rgb="FFFF6969"/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586B9-1AA3-4950-B436-9D16CD971040}">
  <dimension ref="A1:AC18"/>
  <sheetViews>
    <sheetView tabSelected="1" workbookViewId="0">
      <selection activeCell="F20" sqref="F20"/>
    </sheetView>
  </sheetViews>
  <sheetFormatPr baseColWidth="10" defaultColWidth="8.88671875" defaultRowHeight="15.05" x14ac:dyDescent="0.3"/>
  <cols>
    <col min="1" max="1" width="7.5546875" bestFit="1" customWidth="1"/>
    <col min="2" max="2" width="9.6640625" bestFit="1" customWidth="1"/>
    <col min="3" max="3" width="10.88671875" bestFit="1" customWidth="1"/>
    <col min="4" max="4" width="10" bestFit="1" customWidth="1"/>
    <col min="5" max="5" width="11.109375" bestFit="1" customWidth="1"/>
    <col min="6" max="6" width="15.21875" bestFit="1" customWidth="1"/>
    <col min="7" max="7" width="12.21875" bestFit="1" customWidth="1"/>
    <col min="8" max="8" width="16.44140625" bestFit="1" customWidth="1"/>
    <col min="9" max="9" width="13.109375" bestFit="1" customWidth="1"/>
    <col min="10" max="10" width="13.44140625" bestFit="1" customWidth="1"/>
    <col min="11" max="11" width="24" bestFit="1" customWidth="1"/>
    <col min="12" max="12" width="24.88671875" bestFit="1" customWidth="1"/>
    <col min="13" max="13" width="25.44140625" bestFit="1" customWidth="1"/>
    <col min="14" max="14" width="12.21875" bestFit="1" customWidth="1"/>
    <col min="15" max="15" width="17.44140625" bestFit="1" customWidth="1"/>
    <col min="16" max="16" width="24.33203125" bestFit="1" customWidth="1"/>
    <col min="17" max="17" width="15" bestFit="1" customWidth="1"/>
    <col min="18" max="18" width="17.5546875" bestFit="1" customWidth="1"/>
    <col min="19" max="19" width="7.109375" bestFit="1" customWidth="1"/>
    <col min="20" max="20" width="20.21875" bestFit="1" customWidth="1"/>
    <col min="21" max="21" width="10.88671875" bestFit="1" customWidth="1"/>
    <col min="22" max="22" width="20.33203125" bestFit="1" customWidth="1"/>
    <col min="23" max="23" width="7.109375" bestFit="1" customWidth="1"/>
    <col min="24" max="24" width="13.88671875" bestFit="1" customWidth="1"/>
    <col min="25" max="25" width="11.88671875" bestFit="1" customWidth="1"/>
  </cols>
  <sheetData>
    <row r="1" spans="1:29" s="1" customFormat="1" ht="16.399999999999999" x14ac:dyDescent="0.35">
      <c r="A1" s="1" t="s">
        <v>10</v>
      </c>
      <c r="B1" s="1" t="s">
        <v>0</v>
      </c>
      <c r="C1" s="1" t="s">
        <v>13</v>
      </c>
      <c r="D1" s="1" t="s">
        <v>22</v>
      </c>
      <c r="E1" s="1" t="s">
        <v>21</v>
      </c>
      <c r="F1" s="1" t="s">
        <v>14</v>
      </c>
      <c r="G1" s="1" t="s">
        <v>33</v>
      </c>
      <c r="H1" s="1" t="s">
        <v>34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9</v>
      </c>
      <c r="O1" s="1" t="s">
        <v>28</v>
      </c>
      <c r="P1" s="3" t="s">
        <v>29</v>
      </c>
      <c r="Q1" s="1" t="s">
        <v>30</v>
      </c>
      <c r="R1" s="5" t="s">
        <v>15</v>
      </c>
      <c r="S1" s="1" t="s">
        <v>20</v>
      </c>
      <c r="T1" s="7" t="s">
        <v>16</v>
      </c>
      <c r="U1" s="1" t="s">
        <v>19</v>
      </c>
      <c r="V1" s="8" t="s">
        <v>17</v>
      </c>
      <c r="W1" s="1" t="s">
        <v>18</v>
      </c>
      <c r="X1" s="1" t="s">
        <v>31</v>
      </c>
      <c r="Y1" s="1" t="s">
        <v>32</v>
      </c>
    </row>
    <row r="2" spans="1:29" x14ac:dyDescent="0.3">
      <c r="A2" s="17">
        <v>1</v>
      </c>
      <c r="B2" t="s">
        <v>1</v>
      </c>
      <c r="C2">
        <v>28</v>
      </c>
      <c r="D2">
        <v>183</v>
      </c>
      <c r="E2">
        <v>78</v>
      </c>
      <c r="F2">
        <v>175</v>
      </c>
      <c r="G2" s="10">
        <v>5.6550000000000002</v>
      </c>
      <c r="H2" s="2">
        <v>72.500000000000014</v>
      </c>
      <c r="I2" s="13">
        <v>440</v>
      </c>
      <c r="J2" s="2">
        <v>5.6410256410256414</v>
      </c>
      <c r="K2">
        <v>175</v>
      </c>
      <c r="L2">
        <v>84</v>
      </c>
      <c r="M2">
        <v>77</v>
      </c>
      <c r="N2">
        <v>792</v>
      </c>
      <c r="O2" s="2">
        <v>10.153846153846153</v>
      </c>
      <c r="P2" s="12">
        <v>290</v>
      </c>
      <c r="Q2" s="2">
        <v>65.909090909090907</v>
      </c>
      <c r="R2" s="4">
        <v>320</v>
      </c>
      <c r="S2" s="2">
        <v>72.727272727272734</v>
      </c>
      <c r="T2" s="6">
        <v>350</v>
      </c>
      <c r="U2" s="2">
        <v>79.545454545454547</v>
      </c>
      <c r="V2" s="9">
        <v>370</v>
      </c>
      <c r="W2" s="2">
        <v>84.090909090909093</v>
      </c>
      <c r="X2">
        <v>10</v>
      </c>
      <c r="Y2">
        <v>0.5</v>
      </c>
    </row>
    <row r="3" spans="1:29" x14ac:dyDescent="0.3">
      <c r="A3" s="17">
        <v>6</v>
      </c>
      <c r="B3" t="s">
        <v>1</v>
      </c>
      <c r="C3">
        <v>34</v>
      </c>
      <c r="D3">
        <v>184</v>
      </c>
      <c r="E3">
        <v>73</v>
      </c>
      <c r="F3">
        <v>175</v>
      </c>
      <c r="G3" s="14" t="s">
        <v>3</v>
      </c>
      <c r="H3" s="2">
        <v>67.753424657534239</v>
      </c>
      <c r="I3" s="13">
        <v>440</v>
      </c>
      <c r="J3" s="2">
        <v>6.0273972602739727</v>
      </c>
      <c r="K3">
        <v>185</v>
      </c>
      <c r="L3" s="11">
        <v>79</v>
      </c>
      <c r="M3">
        <v>59</v>
      </c>
      <c r="N3">
        <v>730</v>
      </c>
      <c r="O3" s="2">
        <v>10</v>
      </c>
      <c r="P3" s="12">
        <v>280</v>
      </c>
      <c r="Q3" s="2">
        <v>63.636363636363633</v>
      </c>
      <c r="R3" s="4">
        <v>305</v>
      </c>
      <c r="S3" s="2">
        <v>69.318181818181827</v>
      </c>
      <c r="T3" s="6">
        <v>325</v>
      </c>
      <c r="U3" s="2">
        <v>73.86363636363636</v>
      </c>
      <c r="V3" s="9">
        <v>360</v>
      </c>
      <c r="W3" s="2">
        <v>81.818181818181827</v>
      </c>
      <c r="X3">
        <v>5</v>
      </c>
      <c r="Y3">
        <v>4</v>
      </c>
    </row>
    <row r="4" spans="1:29" x14ac:dyDescent="0.3">
      <c r="A4" s="17">
        <v>10</v>
      </c>
      <c r="B4" t="s">
        <v>1</v>
      </c>
      <c r="C4">
        <v>45</v>
      </c>
      <c r="D4">
        <v>183</v>
      </c>
      <c r="E4">
        <v>82</v>
      </c>
      <c r="F4">
        <v>172.5</v>
      </c>
      <c r="G4" s="14" t="s">
        <v>4</v>
      </c>
      <c r="H4" s="2">
        <v>75.378048780487802</v>
      </c>
      <c r="I4" s="13">
        <v>500</v>
      </c>
      <c r="J4" s="2">
        <v>6.0975609756097562</v>
      </c>
      <c r="K4">
        <v>195</v>
      </c>
      <c r="L4">
        <v>92</v>
      </c>
      <c r="M4">
        <v>62</v>
      </c>
      <c r="N4">
        <v>905</v>
      </c>
      <c r="O4" s="2">
        <v>11.036585365853659</v>
      </c>
      <c r="P4" s="12">
        <v>325</v>
      </c>
      <c r="Q4" s="2">
        <v>65</v>
      </c>
      <c r="R4" s="4">
        <v>380</v>
      </c>
      <c r="S4" s="2">
        <v>76</v>
      </c>
      <c r="T4" s="6">
        <v>410</v>
      </c>
      <c r="U4" s="2">
        <v>82</v>
      </c>
      <c r="V4" s="9">
        <v>435</v>
      </c>
      <c r="W4" s="2">
        <v>87</v>
      </c>
      <c r="X4">
        <v>8</v>
      </c>
      <c r="Y4">
        <v>8</v>
      </c>
    </row>
    <row r="5" spans="1:29" x14ac:dyDescent="0.3">
      <c r="A5" s="17">
        <v>13</v>
      </c>
      <c r="B5" t="s">
        <v>1</v>
      </c>
      <c r="C5">
        <v>36</v>
      </c>
      <c r="D5">
        <v>179</v>
      </c>
      <c r="E5">
        <v>72</v>
      </c>
      <c r="F5">
        <v>172.5</v>
      </c>
      <c r="G5" s="14" t="s">
        <v>5</v>
      </c>
      <c r="H5" s="2">
        <v>72.000000000000014</v>
      </c>
      <c r="I5" s="13">
        <v>460</v>
      </c>
      <c r="J5" s="2">
        <v>6.3888888888888893</v>
      </c>
      <c r="K5">
        <v>190</v>
      </c>
      <c r="L5">
        <v>100</v>
      </c>
      <c r="M5">
        <v>76</v>
      </c>
      <c r="N5">
        <v>851</v>
      </c>
      <c r="O5" s="2">
        <v>11.819444444444445</v>
      </c>
      <c r="P5" s="12">
        <v>305</v>
      </c>
      <c r="Q5" s="2">
        <v>66.304347826086953</v>
      </c>
      <c r="R5" s="4">
        <v>335</v>
      </c>
      <c r="S5" s="2">
        <v>72.826086956521735</v>
      </c>
      <c r="T5" s="6">
        <v>360</v>
      </c>
      <c r="U5" s="2">
        <v>78.260869565217391</v>
      </c>
      <c r="V5" s="9">
        <v>380</v>
      </c>
      <c r="W5" s="2">
        <v>82.608695652173907</v>
      </c>
      <c r="X5">
        <v>12</v>
      </c>
      <c r="Y5">
        <v>11</v>
      </c>
    </row>
    <row r="6" spans="1:29" x14ac:dyDescent="0.3">
      <c r="A6" s="17">
        <v>15</v>
      </c>
      <c r="B6" t="s">
        <v>1</v>
      </c>
      <c r="C6">
        <v>30</v>
      </c>
      <c r="D6">
        <v>176</v>
      </c>
      <c r="E6">
        <v>76</v>
      </c>
      <c r="F6">
        <v>175</v>
      </c>
      <c r="G6" s="14" t="s">
        <v>6</v>
      </c>
      <c r="H6" s="2">
        <v>70.078947368421041</v>
      </c>
      <c r="I6" s="13">
        <v>460</v>
      </c>
      <c r="J6" s="2">
        <v>6.0526315789473681</v>
      </c>
      <c r="K6">
        <v>205</v>
      </c>
      <c r="L6">
        <v>95</v>
      </c>
      <c r="M6">
        <v>67</v>
      </c>
      <c r="N6">
        <v>881</v>
      </c>
      <c r="O6" s="2">
        <v>11.592105263157896</v>
      </c>
      <c r="P6" s="12">
        <v>270.5</v>
      </c>
      <c r="Q6" s="2">
        <v>58.804347826086953</v>
      </c>
      <c r="R6" s="4">
        <v>305</v>
      </c>
      <c r="S6" s="2">
        <v>66.304347826086953</v>
      </c>
      <c r="T6" s="6">
        <v>332.5</v>
      </c>
      <c r="U6" s="2">
        <v>72.282608695652172</v>
      </c>
      <c r="V6" s="9">
        <v>360</v>
      </c>
      <c r="W6" s="2">
        <v>78.260869565217391</v>
      </c>
      <c r="X6">
        <v>12</v>
      </c>
      <c r="Y6">
        <v>7</v>
      </c>
    </row>
    <row r="7" spans="1:29" x14ac:dyDescent="0.3">
      <c r="A7" s="17">
        <v>19</v>
      </c>
      <c r="B7" t="s">
        <v>1</v>
      </c>
      <c r="C7">
        <v>37</v>
      </c>
      <c r="D7">
        <v>176</v>
      </c>
      <c r="E7">
        <v>65</v>
      </c>
      <c r="F7">
        <v>172.5</v>
      </c>
      <c r="G7" s="14" t="s">
        <v>7</v>
      </c>
      <c r="H7" s="2">
        <v>72.2</v>
      </c>
      <c r="I7" s="13">
        <v>360</v>
      </c>
      <c r="J7" s="2">
        <v>5.5384615384615383</v>
      </c>
      <c r="K7">
        <v>185</v>
      </c>
      <c r="L7" s="11">
        <v>85</v>
      </c>
      <c r="M7">
        <v>83</v>
      </c>
      <c r="N7">
        <v>784</v>
      </c>
      <c r="O7" s="2">
        <v>12.061538461538461</v>
      </c>
      <c r="P7" s="12">
        <v>225</v>
      </c>
      <c r="Q7" s="2">
        <v>62.5</v>
      </c>
      <c r="R7" s="4">
        <v>245</v>
      </c>
      <c r="S7" s="2">
        <v>68.055555555555557</v>
      </c>
      <c r="T7" s="6">
        <v>275</v>
      </c>
      <c r="U7" s="2">
        <v>76.388888888888886</v>
      </c>
      <c r="V7" s="9">
        <v>285</v>
      </c>
      <c r="W7" s="2">
        <v>79.166666666666657</v>
      </c>
      <c r="X7">
        <v>11</v>
      </c>
      <c r="Y7">
        <v>4</v>
      </c>
    </row>
    <row r="8" spans="1:29" x14ac:dyDescent="0.3">
      <c r="A8" s="17">
        <v>20</v>
      </c>
      <c r="B8" t="s">
        <v>1</v>
      </c>
      <c r="C8">
        <v>33</v>
      </c>
      <c r="D8">
        <v>186</v>
      </c>
      <c r="E8">
        <v>80</v>
      </c>
      <c r="F8">
        <v>172.5</v>
      </c>
      <c r="G8" s="14" t="s">
        <v>8</v>
      </c>
      <c r="H8" s="2">
        <v>69.4375</v>
      </c>
      <c r="I8" s="13">
        <v>440</v>
      </c>
      <c r="J8" s="2">
        <v>5.5</v>
      </c>
      <c r="K8">
        <v>190</v>
      </c>
      <c r="L8">
        <v>88</v>
      </c>
      <c r="M8">
        <v>59</v>
      </c>
      <c r="N8">
        <v>922</v>
      </c>
      <c r="O8" s="2">
        <v>11.525</v>
      </c>
      <c r="P8" s="12">
        <v>245</v>
      </c>
      <c r="Q8" s="2">
        <v>55.68181818181818</v>
      </c>
      <c r="R8" s="4">
        <v>275</v>
      </c>
      <c r="S8" s="2">
        <v>62.5</v>
      </c>
      <c r="T8" s="6">
        <v>310</v>
      </c>
      <c r="U8" s="2">
        <v>70.454545454545453</v>
      </c>
      <c r="V8" s="9">
        <v>345</v>
      </c>
      <c r="W8" s="2">
        <v>78.409090909090907</v>
      </c>
      <c r="X8">
        <v>6</v>
      </c>
      <c r="Y8">
        <v>3</v>
      </c>
    </row>
    <row r="9" spans="1:29" x14ac:dyDescent="0.3">
      <c r="A9" s="17">
        <v>22</v>
      </c>
      <c r="B9" t="s">
        <v>2</v>
      </c>
      <c r="C9">
        <v>24</v>
      </c>
      <c r="D9">
        <v>157</v>
      </c>
      <c r="E9">
        <v>48</v>
      </c>
      <c r="F9">
        <v>170</v>
      </c>
      <c r="G9" s="15">
        <v>3.9</v>
      </c>
      <c r="H9" s="16">
        <v>81.25</v>
      </c>
      <c r="I9" s="13">
        <v>330</v>
      </c>
      <c r="J9" s="2">
        <v>6.875</v>
      </c>
      <c r="K9">
        <v>185</v>
      </c>
      <c r="L9">
        <v>85</v>
      </c>
      <c r="M9">
        <v>64</v>
      </c>
      <c r="N9">
        <v>544</v>
      </c>
      <c r="O9" s="2">
        <v>11.333333333333334</v>
      </c>
      <c r="P9" s="12">
        <v>200</v>
      </c>
      <c r="Q9" s="2">
        <v>60.606060606060609</v>
      </c>
      <c r="R9" s="4">
        <v>230</v>
      </c>
      <c r="S9" s="2">
        <v>69.696969696969703</v>
      </c>
      <c r="T9" s="6">
        <v>260</v>
      </c>
      <c r="U9" s="2">
        <v>78.787878787878782</v>
      </c>
      <c r="V9" s="9">
        <v>280</v>
      </c>
      <c r="W9" s="2">
        <v>84.848484848484844</v>
      </c>
      <c r="X9">
        <v>23</v>
      </c>
      <c r="Y9">
        <v>13</v>
      </c>
    </row>
    <row r="10" spans="1:29" x14ac:dyDescent="0.3">
      <c r="A10" s="17">
        <v>23</v>
      </c>
      <c r="B10" t="s">
        <v>2</v>
      </c>
      <c r="C10">
        <v>26</v>
      </c>
      <c r="D10">
        <v>163</v>
      </c>
      <c r="E10">
        <v>60</v>
      </c>
      <c r="F10">
        <v>172.5</v>
      </c>
      <c r="G10" s="15">
        <v>4.0759999999999996</v>
      </c>
      <c r="H10" s="16">
        <v>67.933333333333337</v>
      </c>
      <c r="I10" s="13">
        <v>330</v>
      </c>
      <c r="J10" s="2">
        <v>5.5</v>
      </c>
      <c r="K10">
        <v>170</v>
      </c>
      <c r="L10">
        <v>88</v>
      </c>
      <c r="M10">
        <v>75</v>
      </c>
      <c r="N10">
        <v>738</v>
      </c>
      <c r="O10" s="2">
        <v>12.3</v>
      </c>
      <c r="P10" s="12">
        <v>185.25</v>
      </c>
      <c r="Q10" s="2">
        <v>56.13636363636364</v>
      </c>
      <c r="R10" s="4">
        <v>210</v>
      </c>
      <c r="S10" s="2">
        <v>63.636363636363633</v>
      </c>
      <c r="T10" s="6">
        <v>235</v>
      </c>
      <c r="U10" s="2">
        <v>71.212121212121218</v>
      </c>
      <c r="V10" s="9">
        <v>255</v>
      </c>
      <c r="W10" s="2">
        <v>77.272727272727266</v>
      </c>
      <c r="X10">
        <v>11</v>
      </c>
      <c r="Y10">
        <v>3.5</v>
      </c>
    </row>
    <row r="12" spans="1:29" x14ac:dyDescent="0.3">
      <c r="B12" s="1" t="s">
        <v>11</v>
      </c>
      <c r="C12" s="2">
        <f t="shared" ref="C12:Y12" si="0">AVERAGE(C2:C10)</f>
        <v>32.555555555555557</v>
      </c>
      <c r="D12" s="2">
        <f t="shared" si="0"/>
        <v>176.33333333333334</v>
      </c>
      <c r="E12" s="2">
        <f t="shared" si="0"/>
        <v>70.444444444444443</v>
      </c>
      <c r="F12" s="2">
        <f t="shared" si="0"/>
        <v>173.05555555555554</v>
      </c>
      <c r="G12" s="18">
        <f t="shared" si="0"/>
        <v>4.5436666666666667</v>
      </c>
      <c r="H12" s="2">
        <f t="shared" si="0"/>
        <v>72.059028237752926</v>
      </c>
      <c r="I12" s="2">
        <f t="shared" si="0"/>
        <v>417.77777777777777</v>
      </c>
      <c r="J12" s="2">
        <f t="shared" si="0"/>
        <v>5.9578850981341303</v>
      </c>
      <c r="K12" s="2">
        <f t="shared" si="0"/>
        <v>186.66666666666666</v>
      </c>
      <c r="L12" s="2">
        <f t="shared" si="0"/>
        <v>88.444444444444443</v>
      </c>
      <c r="M12" s="2">
        <f t="shared" si="0"/>
        <v>69.111111111111114</v>
      </c>
      <c r="N12" s="2">
        <f t="shared" si="0"/>
        <v>794.11111111111109</v>
      </c>
      <c r="O12" s="2">
        <f t="shared" si="0"/>
        <v>11.313539224685993</v>
      </c>
      <c r="P12" s="2">
        <f t="shared" si="0"/>
        <v>258.41666666666669</v>
      </c>
      <c r="Q12" s="2">
        <f t="shared" si="0"/>
        <v>61.619821402430098</v>
      </c>
      <c r="R12" s="2">
        <f t="shared" si="0"/>
        <v>289.44444444444446</v>
      </c>
      <c r="S12" s="2">
        <f t="shared" si="0"/>
        <v>69.007197579661351</v>
      </c>
      <c r="T12" s="2">
        <f t="shared" si="0"/>
        <v>317.5</v>
      </c>
      <c r="U12" s="2">
        <f t="shared" si="0"/>
        <v>75.866222612599429</v>
      </c>
      <c r="V12" s="2">
        <f t="shared" si="0"/>
        <v>341.11111111111109</v>
      </c>
      <c r="W12" s="2">
        <f t="shared" si="0"/>
        <v>81.497291758161325</v>
      </c>
      <c r="X12" s="2">
        <f t="shared" si="0"/>
        <v>10.888888888888889</v>
      </c>
      <c r="Y12" s="2">
        <f t="shared" si="0"/>
        <v>6</v>
      </c>
      <c r="Z12" s="2"/>
      <c r="AA12" s="2"/>
      <c r="AB12" s="2"/>
      <c r="AC12" s="2"/>
    </row>
    <row r="13" spans="1:29" x14ac:dyDescent="0.3">
      <c r="B13" s="1" t="s">
        <v>12</v>
      </c>
      <c r="C13" s="2">
        <f>_xlfn.STDEV.P(C2:C10)</f>
        <v>6.0756547175521405</v>
      </c>
      <c r="D13" s="2">
        <f t="shared" ref="D13:Y13" si="1">_xlfn.STDEV.P(D2:D10)</f>
        <v>9.428090415820634</v>
      </c>
      <c r="E13" s="2">
        <f t="shared" si="1"/>
        <v>10.35064261140997</v>
      </c>
      <c r="F13" s="2">
        <f t="shared" si="1"/>
        <v>1.5713484026367723</v>
      </c>
      <c r="G13" s="18">
        <f t="shared" si="1"/>
        <v>0.78910934321902348</v>
      </c>
      <c r="H13" s="2">
        <f t="shared" si="1"/>
        <v>3.9729695575643493</v>
      </c>
      <c r="I13" s="2">
        <f t="shared" si="1"/>
        <v>58.26715823167509</v>
      </c>
      <c r="J13" s="2">
        <f t="shared" si="1"/>
        <v>0.44169066124557377</v>
      </c>
      <c r="K13" s="2">
        <f t="shared" si="1"/>
        <v>9.7182531580755001</v>
      </c>
      <c r="L13" s="2">
        <f t="shared" si="1"/>
        <v>5.9835164523716715</v>
      </c>
      <c r="M13" s="2">
        <f t="shared" si="1"/>
        <v>8.3192473543710594</v>
      </c>
      <c r="N13" s="2">
        <f t="shared" si="1"/>
        <v>110.23151842518087</v>
      </c>
      <c r="O13" s="2">
        <f t="shared" si="1"/>
        <v>0.74968371614168416</v>
      </c>
      <c r="P13" s="2">
        <f t="shared" si="1"/>
        <v>45.061994333732429</v>
      </c>
      <c r="Q13" s="2">
        <f t="shared" si="1"/>
        <v>3.8136039930550845</v>
      </c>
      <c r="R13" s="2">
        <f t="shared" si="1"/>
        <v>51.340066898435204</v>
      </c>
      <c r="S13" s="2">
        <f t="shared" si="1"/>
        <v>4.180578834943022</v>
      </c>
      <c r="T13" s="2">
        <f t="shared" si="1"/>
        <v>51.288941844763727</v>
      </c>
      <c r="U13" s="2">
        <f t="shared" si="1"/>
        <v>3.851451550660097</v>
      </c>
      <c r="V13" s="2">
        <f t="shared" si="1"/>
        <v>53.943271528614915</v>
      </c>
      <c r="W13" s="2">
        <f t="shared" si="1"/>
        <v>3.2122249911217104</v>
      </c>
      <c r="X13" s="2">
        <f t="shared" si="1"/>
        <v>4.9090493409721159</v>
      </c>
      <c r="Y13" s="2">
        <f t="shared" si="1"/>
        <v>3.8369548110737792</v>
      </c>
    </row>
    <row r="17" spans="1:25" x14ac:dyDescent="0.3">
      <c r="A17" s="17">
        <v>2</v>
      </c>
      <c r="B17" t="s">
        <v>2</v>
      </c>
      <c r="C17">
        <v>27</v>
      </c>
      <c r="D17">
        <v>158</v>
      </c>
      <c r="E17">
        <v>54</v>
      </c>
      <c r="F17">
        <v>170</v>
      </c>
      <c r="G17" s="10">
        <v>3.7360000000000002</v>
      </c>
      <c r="H17" s="2">
        <v>69.185185185185176</v>
      </c>
      <c r="I17" s="13">
        <v>330</v>
      </c>
      <c r="J17" s="2">
        <v>6.1111111111111107</v>
      </c>
      <c r="K17">
        <v>175</v>
      </c>
      <c r="L17">
        <v>99</v>
      </c>
      <c r="M17">
        <v>84</v>
      </c>
      <c r="N17">
        <v>641</v>
      </c>
      <c r="O17" s="2">
        <v>11.87037037037037</v>
      </c>
      <c r="P17" s="12">
        <v>200.25</v>
      </c>
      <c r="Q17" s="2">
        <v>60.68181818181818</v>
      </c>
      <c r="R17" s="4">
        <v>225</v>
      </c>
      <c r="S17" s="2">
        <v>68.181818181818173</v>
      </c>
      <c r="T17" s="6">
        <v>255</v>
      </c>
      <c r="U17" s="2">
        <v>77.272727272727266</v>
      </c>
      <c r="V17" s="9">
        <v>285</v>
      </c>
      <c r="W17" s="2">
        <v>86.36363636363636</v>
      </c>
      <c r="X17">
        <v>18</v>
      </c>
      <c r="Y17">
        <v>18</v>
      </c>
    </row>
    <row r="18" spans="1:25" x14ac:dyDescent="0.3">
      <c r="A18" s="17">
        <v>3</v>
      </c>
      <c r="B18" t="s">
        <v>2</v>
      </c>
      <c r="C18">
        <v>33</v>
      </c>
      <c r="D18">
        <v>163</v>
      </c>
      <c r="E18">
        <v>48</v>
      </c>
      <c r="F18">
        <v>170</v>
      </c>
      <c r="G18" s="10">
        <v>3.6040000000000001</v>
      </c>
      <c r="H18" s="2">
        <v>75.083333333333329</v>
      </c>
      <c r="I18" s="13">
        <v>300</v>
      </c>
      <c r="J18" s="2">
        <v>6.25</v>
      </c>
      <c r="K18">
        <v>165</v>
      </c>
      <c r="L18">
        <v>96</v>
      </c>
      <c r="M18">
        <v>90</v>
      </c>
      <c r="N18">
        <v>673</v>
      </c>
      <c r="O18" s="2">
        <v>14.020833333333334</v>
      </c>
      <c r="P18" s="12">
        <v>180</v>
      </c>
      <c r="Q18" s="2">
        <v>60</v>
      </c>
      <c r="R18" s="4">
        <v>200</v>
      </c>
      <c r="S18" s="2">
        <v>66.666666666666657</v>
      </c>
      <c r="T18" s="6">
        <v>225</v>
      </c>
      <c r="U18" s="2">
        <v>75</v>
      </c>
      <c r="V18" s="9">
        <v>240</v>
      </c>
      <c r="W18" s="2">
        <v>80</v>
      </c>
      <c r="X18">
        <v>16</v>
      </c>
      <c r="Y18">
        <v>15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Stichprobe_final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Will</dc:creator>
  <cp:lastModifiedBy>JJRW</cp:lastModifiedBy>
  <dcterms:created xsi:type="dcterms:W3CDTF">2015-06-05T18:19:34Z</dcterms:created>
  <dcterms:modified xsi:type="dcterms:W3CDTF">2024-06-25T13:58:30Z</dcterms:modified>
</cp:coreProperties>
</file>